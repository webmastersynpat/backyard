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jeev\Documents\Singh Law\Clients\Bailey and co\Sales materials\Valuation model sales materials\"/>
    </mc:Choice>
  </mc:AlternateContent>
  <bookViews>
    <workbookView minimized="1" xWindow="0" yWindow="0" windowWidth="23040" windowHeight="88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E9" i="1"/>
  <c r="D9" i="1"/>
  <c r="C9" i="1"/>
  <c r="B9" i="1"/>
  <c r="E7" i="1"/>
  <c r="E12" i="1" s="1"/>
  <c r="D7" i="1"/>
  <c r="D12" i="1" s="1"/>
  <c r="C7" i="1"/>
  <c r="C12" i="1" s="1"/>
  <c r="B7" i="1"/>
  <c r="B12" i="1" s="1"/>
  <c r="E37" i="1"/>
  <c r="E35" i="1"/>
  <c r="D37" i="1"/>
  <c r="D35" i="1"/>
  <c r="C37" i="1"/>
  <c r="C35" i="1"/>
  <c r="B37" i="1"/>
  <c r="B35" i="1"/>
  <c r="E27" i="1"/>
  <c r="E25" i="1"/>
  <c r="D27" i="1"/>
  <c r="D25" i="1"/>
  <c r="C27" i="1"/>
  <c r="C25" i="1"/>
  <c r="B27" i="1"/>
  <c r="B25" i="1"/>
  <c r="E18" i="1"/>
  <c r="D18" i="1"/>
  <c r="C18" i="1"/>
  <c r="B18" i="1"/>
  <c r="E16" i="1"/>
  <c r="E21" i="1" s="1"/>
  <c r="D16" i="1"/>
  <c r="D21" i="1" s="1"/>
  <c r="C16" i="1"/>
  <c r="B16" i="1"/>
  <c r="B21" i="1" s="1"/>
  <c r="E30" i="1" l="1"/>
  <c r="C40" i="1"/>
  <c r="C30" i="1"/>
  <c r="B40" i="1"/>
  <c r="E40" i="1"/>
  <c r="F21" i="1"/>
  <c r="F12" i="1"/>
  <c r="M12" i="1" s="1"/>
  <c r="N12" i="1" s="1"/>
  <c r="D40" i="1"/>
  <c r="G25" i="1"/>
  <c r="G30" i="1" s="1"/>
  <c r="D30" i="1"/>
  <c r="G35" i="1"/>
  <c r="G40" i="1" s="1"/>
  <c r="B30" i="1"/>
  <c r="G16" i="1"/>
  <c r="G21" i="1" s="1"/>
  <c r="M21" i="1" s="1"/>
  <c r="N21" i="1" s="1"/>
  <c r="F40" i="1" l="1"/>
  <c r="M40" i="1" s="1"/>
  <c r="F30" i="1"/>
  <c r="M30" i="1" s="1"/>
  <c r="N30" i="1" s="1"/>
  <c r="M43" i="1" l="1"/>
  <c r="N40" i="1"/>
  <c r="N43" i="1" s="1"/>
</calcChain>
</file>

<file path=xl/sharedStrings.xml><?xml version="1.0" encoding="utf-8"?>
<sst xmlns="http://schemas.openxmlformats.org/spreadsheetml/2006/main" count="103" uniqueCount="30">
  <si>
    <t>Starbucks</t>
  </si>
  <si>
    <t>New stores added in 2010</t>
  </si>
  <si>
    <t>New stores added in 2011</t>
  </si>
  <si>
    <t>New stores added in 2012</t>
  </si>
  <si>
    <t>New stores added in 2013</t>
  </si>
  <si>
    <t>Projected new stores for four years (2014- 2017)</t>
  </si>
  <si>
    <t>Average sales per store</t>
  </si>
  <si>
    <t>Total sales from new stores in 2010</t>
  </si>
  <si>
    <t>Total sales from new stores in 2011</t>
  </si>
  <si>
    <t>Total sales from new stores in 2012</t>
  </si>
  <si>
    <t>Total sales from new stores in 2013</t>
  </si>
  <si>
    <t>Cumulative sales from new stores up to 2013</t>
  </si>
  <si>
    <t>Total projected sales from new stores between 2014-2017</t>
  </si>
  <si>
    <t>Validity risk discount</t>
  </si>
  <si>
    <t>Infringement risk discount</t>
  </si>
  <si>
    <t>US sales factor</t>
  </si>
  <si>
    <t>Cost of litigation</t>
  </si>
  <si>
    <t>Walmart</t>
  </si>
  <si>
    <t>Walgreens</t>
  </si>
  <si>
    <t>Preliminary valuation model for discussion purposes only.</t>
  </si>
  <si>
    <t>Subject to NDA and disclaimers.</t>
  </si>
  <si>
    <t>Petco</t>
  </si>
  <si>
    <t>Potential value based on US sales only</t>
  </si>
  <si>
    <t>Potential value (based on US sales only) after cost of litigation ($2,000,000)</t>
  </si>
  <si>
    <t>Total value from Petco, Starbucks, Walmart, and Walgreens</t>
  </si>
  <si>
    <t>Benefit of technology--1 percent increase in revenue for new stores</t>
  </si>
  <si>
    <t>Data sources:  https://nrf.com/resources/top-retailers-lists/hot-100-retailers/hot-100-retailers-2013; (2010, 11, 12)</t>
  </si>
  <si>
    <t>Data sources:  https://nrf.com/2014/hot100-table</t>
  </si>
  <si>
    <t>Data sources:  https://nrf.com/resources/top-retailers-list/top-100-retailers-2013; (2010, 2011, 2012)</t>
  </si>
  <si>
    <t>Data sources:  https://nrf.com/2014/top100-table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</si>
</sst>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1" fontId="3" fillId="0" borderId="0" xfId="0" applyNumberFormat="1" applyFont="1" applyAlignment="1">
      <alignment wrapText="1"/>
    </xf>
    <xf numFmtId="42" fontId="3" fillId="0" borderId="0" xfId="0" applyNumberFormat="1" applyFont="1" applyAlignment="1">
      <alignment wrapText="1"/>
    </xf>
    <xf numFmtId="42" fontId="3" fillId="0" borderId="0" xfId="0" applyNumberFormat="1" applyFont="1"/>
    <xf numFmtId="44" fontId="3" fillId="0" borderId="0" xfId="0" applyNumberFormat="1" applyFont="1" applyAlignment="1">
      <alignment wrapText="1"/>
    </xf>
    <xf numFmtId="6" fontId="3" fillId="0" borderId="0" xfId="0" applyNumberFormat="1" applyFont="1" applyAlignment="1">
      <alignment wrapText="1"/>
    </xf>
    <xf numFmtId="44" fontId="3" fillId="0" borderId="0" xfId="0" applyNumberFormat="1" applyFont="1"/>
    <xf numFmtId="0" fontId="1" fillId="0" borderId="0" xfId="0" applyFont="1"/>
    <xf numFmtId="42" fontId="0" fillId="0" borderId="0" xfId="0" applyNumberFormat="1"/>
    <xf numFmtId="0" fontId="2" fillId="0" borderId="0" xfId="0" applyFont="1" applyAlignment="1">
      <alignment wrapText="1"/>
    </xf>
    <xf numFmtId="42" fontId="2" fillId="0" borderId="0" xfId="0" applyNumberFormat="1" applyFont="1"/>
    <xf numFmtId="42" fontId="1" fillId="0" borderId="0" xfId="0" applyNumberFormat="1" applyFont="1"/>
    <xf numFmtId="0" fontId="4" fillId="0" borderId="0" xfId="0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5:N48" headerRowCount="0" totalsRowShown="0" headerRowDxfId="17">
  <tableColumns count="14">
    <tableColumn id="1" name="Column1" headerRowDxfId="16" dataDxfId="15"/>
    <tableColumn id="2" name="Column2" headerRowDxfId="14" dataDxfId="13"/>
    <tableColumn id="3" name="Column3" headerRowDxfId="12" dataDxfId="11"/>
    <tableColumn id="4" name="Column4" headerRowDxfId="10"/>
    <tableColumn id="5" name="Column5" headerRowDxfId="9"/>
    <tableColumn id="6" name="Column6" headerRowDxfId="8"/>
    <tableColumn id="7" name="Column7" headerRowDxfId="7"/>
    <tableColumn id="8" name="Column8" headerRowDxfId="6"/>
    <tableColumn id="9" name="Column9" headerRowDxfId="5"/>
    <tableColumn id="10" name="Column10" headerRowDxfId="4"/>
    <tableColumn id="11" name="Column11" headerRowDxfId="3"/>
    <tableColumn id="12" name="Column12" headerRowDxfId="2"/>
    <tableColumn id="13" name="Column13" headerRowDxfId="1"/>
    <tableColumn id="14" name="Column14" headerRow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tabSelected="1" topLeftCell="A13" zoomScaleNormal="100" workbookViewId="0">
      <selection activeCell="I6" sqref="I6"/>
    </sheetView>
  </sheetViews>
  <sheetFormatPr defaultRowHeight="14.4" x14ac:dyDescent="0.3"/>
  <cols>
    <col min="1" max="1" width="9.88671875" customWidth="1"/>
    <col min="2" max="2" width="14.21875" customWidth="1"/>
    <col min="3" max="3" width="15.109375" customWidth="1"/>
    <col min="4" max="4" width="15.44140625" customWidth="1"/>
    <col min="5" max="5" width="16.109375" customWidth="1"/>
    <col min="6" max="6" width="15.5546875" customWidth="1"/>
    <col min="7" max="7" width="15.77734375" customWidth="1"/>
    <col min="8" max="9" width="9.88671875" customWidth="1"/>
    <col min="10" max="11" width="10.88671875" customWidth="1"/>
    <col min="12" max="12" width="13.21875" customWidth="1"/>
    <col min="13" max="13" width="15.33203125" customWidth="1"/>
    <col min="14" max="14" width="14.33203125" customWidth="1"/>
  </cols>
  <sheetData>
    <row r="1" spans="1:14" x14ac:dyDescent="0.3">
      <c r="A1" s="15" t="s">
        <v>19</v>
      </c>
      <c r="B1" s="15"/>
      <c r="C1" s="15"/>
    </row>
    <row r="2" spans="1:14" x14ac:dyDescent="0.3">
      <c r="A2" s="15" t="s">
        <v>20</v>
      </c>
      <c r="B2" s="15"/>
      <c r="C2" s="15"/>
    </row>
    <row r="5" spans="1:14" x14ac:dyDescent="0.3">
      <c r="A5" s="1" t="s">
        <v>21</v>
      </c>
      <c r="B5" s="2"/>
      <c r="C5" s="2"/>
      <c r="D5" s="2"/>
      <c r="E5" s="2"/>
      <c r="F5" s="2"/>
      <c r="G5" s="2"/>
      <c r="H5" s="2"/>
      <c r="I5" s="2"/>
      <c r="J5" s="3"/>
      <c r="K5" s="3"/>
      <c r="L5" s="3"/>
      <c r="M5" s="3"/>
      <c r="N5" s="3"/>
    </row>
    <row r="6" spans="1:14" ht="41.4" x14ac:dyDescent="0.3">
      <c r="A6" s="3"/>
      <c r="B6" s="2" t="s">
        <v>1</v>
      </c>
      <c r="C6" s="2" t="s">
        <v>2</v>
      </c>
      <c r="D6" s="2" t="s">
        <v>3</v>
      </c>
      <c r="E6" s="2" t="s">
        <v>4</v>
      </c>
      <c r="F6" s="3"/>
      <c r="G6" s="2" t="s">
        <v>5</v>
      </c>
      <c r="H6" s="2"/>
      <c r="I6" s="2"/>
      <c r="J6" s="3"/>
      <c r="K6" s="3"/>
      <c r="L6" s="3"/>
      <c r="M6" s="3"/>
      <c r="N6" s="3"/>
    </row>
    <row r="7" spans="1:14" x14ac:dyDescent="0.3">
      <c r="A7" s="3"/>
      <c r="B7" s="2">
        <f>1036-1000</f>
        <v>36</v>
      </c>
      <c r="C7" s="2">
        <f>1137-1036</f>
        <v>101</v>
      </c>
      <c r="D7" s="2">
        <f>1193-1137</f>
        <v>56</v>
      </c>
      <c r="E7" s="2">
        <f>1300-1193</f>
        <v>107</v>
      </c>
      <c r="F7" s="2"/>
      <c r="G7" s="2">
        <v>75</v>
      </c>
      <c r="H7" s="2"/>
      <c r="I7" s="2"/>
      <c r="J7" s="3"/>
      <c r="K7" s="3"/>
      <c r="L7" s="3"/>
      <c r="M7" s="3"/>
      <c r="N7" s="3"/>
    </row>
    <row r="8" spans="1:14" ht="27.6" x14ac:dyDescent="0.3">
      <c r="A8" s="3"/>
      <c r="B8" s="2" t="s">
        <v>6</v>
      </c>
      <c r="C8" s="2" t="s">
        <v>6</v>
      </c>
      <c r="D8" s="2" t="s">
        <v>6</v>
      </c>
      <c r="E8" s="2" t="s">
        <v>6</v>
      </c>
      <c r="F8" s="3"/>
      <c r="G8" s="2" t="s">
        <v>6</v>
      </c>
      <c r="H8" s="2"/>
      <c r="I8" s="2"/>
      <c r="J8" s="3"/>
      <c r="K8" s="3"/>
      <c r="L8" s="3"/>
      <c r="M8" s="3"/>
      <c r="N8" s="3"/>
    </row>
    <row r="9" spans="1:14" x14ac:dyDescent="0.3">
      <c r="A9" s="3"/>
      <c r="B9" s="5">
        <f>2623000000/1036</f>
        <v>2531853.2818532819</v>
      </c>
      <c r="C9" s="6">
        <f>2837000000/1137</f>
        <v>2495162.7088830257</v>
      </c>
      <c r="D9" s="5">
        <f>3011000000/1193</f>
        <v>2523889.3545683152</v>
      </c>
      <c r="E9" s="5">
        <f>3268000000/1300</f>
        <v>2513846.153846154</v>
      </c>
      <c r="F9" s="5"/>
      <c r="G9" s="7">
        <v>2500000</v>
      </c>
      <c r="H9" s="2"/>
      <c r="I9" s="2"/>
      <c r="J9" s="3"/>
      <c r="K9" s="3"/>
      <c r="L9" s="3"/>
      <c r="M9" s="3"/>
      <c r="N9" s="3"/>
    </row>
    <row r="10" spans="1:14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124.2" x14ac:dyDescent="0.3">
      <c r="A11" s="3"/>
      <c r="B11" s="7" t="s">
        <v>7</v>
      </c>
      <c r="C11" s="7" t="s">
        <v>8</v>
      </c>
      <c r="D11" s="7" t="s">
        <v>9</v>
      </c>
      <c r="E11" s="7" t="s">
        <v>10</v>
      </c>
      <c r="F11" s="7" t="s">
        <v>11</v>
      </c>
      <c r="G11" s="7" t="s">
        <v>12</v>
      </c>
      <c r="H11" s="2" t="s">
        <v>25</v>
      </c>
      <c r="I11" s="2" t="s">
        <v>13</v>
      </c>
      <c r="J11" s="2" t="s">
        <v>14</v>
      </c>
      <c r="K11" s="2" t="s">
        <v>15</v>
      </c>
      <c r="L11" s="2" t="s">
        <v>16</v>
      </c>
      <c r="M11" s="2" t="s">
        <v>22</v>
      </c>
      <c r="N11" s="12" t="s">
        <v>23</v>
      </c>
    </row>
    <row r="12" spans="1:14" x14ac:dyDescent="0.3">
      <c r="A12" s="3"/>
      <c r="B12" s="5">
        <f>B7*B9</f>
        <v>91146718.146718144</v>
      </c>
      <c r="C12" s="5">
        <f>C7*C9</f>
        <v>252011433.59718558</v>
      </c>
      <c r="D12" s="5">
        <f>D7*D9</f>
        <v>141337803.85582566</v>
      </c>
      <c r="E12" s="5">
        <f>E7*E9</f>
        <v>268981538.46153849</v>
      </c>
      <c r="F12" s="5">
        <f>(B12*4+C12*3+D12*2+E12*1)</f>
        <v>1672278319.5516193</v>
      </c>
      <c r="G12" s="6">
        <f>G7*G9</f>
        <v>187500000</v>
      </c>
      <c r="H12" s="2">
        <v>0.01</v>
      </c>
      <c r="I12" s="2">
        <v>0.5</v>
      </c>
      <c r="J12" s="2">
        <v>0.5</v>
      </c>
      <c r="K12" s="2">
        <v>1</v>
      </c>
      <c r="L12" s="9">
        <v>2000000</v>
      </c>
      <c r="M12" s="6">
        <f>(F12+G12)*H12*I12*J12*K12</f>
        <v>4649445.7988790488</v>
      </c>
      <c r="N12" s="13">
        <f>M12-L12</f>
        <v>2649445.7988790488</v>
      </c>
    </row>
    <row r="14" spans="1:14" x14ac:dyDescent="0.3">
      <c r="A14" s="1" t="s">
        <v>0</v>
      </c>
      <c r="B14" s="2"/>
      <c r="C14" s="2"/>
      <c r="D14" s="2"/>
      <c r="E14" s="2"/>
      <c r="F14" s="2"/>
      <c r="G14" s="2"/>
      <c r="H14" s="2"/>
      <c r="I14" s="2"/>
      <c r="J14" s="3"/>
      <c r="K14" s="3"/>
      <c r="L14" s="3"/>
      <c r="M14" s="3"/>
      <c r="N14" s="3"/>
    </row>
    <row r="15" spans="1:14" ht="41.4" x14ac:dyDescent="0.3">
      <c r="A15" s="3"/>
      <c r="B15" s="2" t="s">
        <v>1</v>
      </c>
      <c r="C15" s="2" t="s">
        <v>2</v>
      </c>
      <c r="D15" s="2" t="s">
        <v>3</v>
      </c>
      <c r="E15" s="2" t="s">
        <v>4</v>
      </c>
      <c r="F15" s="3"/>
      <c r="G15" s="2" t="s">
        <v>5</v>
      </c>
      <c r="H15" s="2"/>
      <c r="I15" s="2"/>
      <c r="J15" s="3"/>
      <c r="K15" s="3"/>
      <c r="L15" s="3"/>
      <c r="M15" s="3"/>
      <c r="N15" s="3"/>
    </row>
    <row r="16" spans="1:14" x14ac:dyDescent="0.3">
      <c r="A16" s="3"/>
      <c r="B16" s="2">
        <f>11310-3764</f>
        <v>7546</v>
      </c>
      <c r="C16" s="2">
        <f>10787-11310</f>
        <v>-523</v>
      </c>
      <c r="D16" s="2">
        <f>11283-10787</f>
        <v>496</v>
      </c>
      <c r="E16" s="2">
        <f>11513-11283</f>
        <v>230</v>
      </c>
      <c r="F16" s="2"/>
      <c r="G16" s="4">
        <f>(B16+C16+D16+E16)/2</f>
        <v>3874.5</v>
      </c>
      <c r="H16" s="2"/>
      <c r="I16" s="2"/>
      <c r="J16" s="3"/>
      <c r="K16" s="3"/>
      <c r="L16" s="3"/>
      <c r="M16" s="3"/>
      <c r="N16" s="3"/>
    </row>
    <row r="17" spans="1:14" ht="27.6" x14ac:dyDescent="0.3">
      <c r="A17" s="3"/>
      <c r="B17" s="2" t="s">
        <v>6</v>
      </c>
      <c r="C17" s="2" t="s">
        <v>6</v>
      </c>
      <c r="D17" s="2" t="s">
        <v>6</v>
      </c>
      <c r="E17" s="2" t="s">
        <v>6</v>
      </c>
      <c r="F17" s="3"/>
      <c r="G17" s="2" t="s">
        <v>6</v>
      </c>
      <c r="H17" s="2"/>
      <c r="I17" s="2"/>
      <c r="J17" s="3"/>
      <c r="K17" s="3"/>
      <c r="L17" s="3"/>
      <c r="M17" s="3"/>
      <c r="N17" s="3"/>
    </row>
    <row r="18" spans="1:14" x14ac:dyDescent="0.3">
      <c r="A18" s="3"/>
      <c r="B18" s="5">
        <f>10707000000/11310</f>
        <v>946684.35013262602</v>
      </c>
      <c r="C18" s="6">
        <f>11700000000/10787</f>
        <v>1084638.9172151664</v>
      </c>
      <c r="D18" s="5">
        <f>11745000000/11283</f>
        <v>1040946.5567668173</v>
      </c>
      <c r="E18" s="5">
        <f>13154000000/11513</f>
        <v>1142534.5261877878</v>
      </c>
      <c r="F18" s="5"/>
      <c r="G18" s="7">
        <v>1000000</v>
      </c>
      <c r="H18" s="2"/>
      <c r="I18" s="2"/>
      <c r="J18" s="3"/>
      <c r="K18" s="3"/>
      <c r="L18" s="3"/>
      <c r="M18" s="3"/>
      <c r="N18" s="3"/>
    </row>
    <row r="19" spans="1:1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82.8" x14ac:dyDescent="0.3">
      <c r="A20" s="3"/>
      <c r="B20" s="7" t="s">
        <v>7</v>
      </c>
      <c r="C20" s="7" t="s">
        <v>8</v>
      </c>
      <c r="D20" s="7" t="s">
        <v>9</v>
      </c>
      <c r="E20" s="7" t="s">
        <v>10</v>
      </c>
      <c r="F20" s="7" t="s">
        <v>11</v>
      </c>
      <c r="G20" s="7" t="s">
        <v>12</v>
      </c>
      <c r="H20" s="2" t="s">
        <v>25</v>
      </c>
      <c r="I20" s="2" t="s">
        <v>13</v>
      </c>
      <c r="J20" s="2" t="s">
        <v>14</v>
      </c>
      <c r="K20" s="2" t="s">
        <v>15</v>
      </c>
      <c r="L20" s="2" t="s">
        <v>16</v>
      </c>
      <c r="M20" s="2" t="s">
        <v>22</v>
      </c>
      <c r="N20" s="12" t="s">
        <v>23</v>
      </c>
    </row>
    <row r="21" spans="1:14" x14ac:dyDescent="0.3">
      <c r="A21" s="3"/>
      <c r="B21" s="5">
        <f>B16*B18</f>
        <v>7143680106.1007957</v>
      </c>
      <c r="C21" s="8">
        <v>0</v>
      </c>
      <c r="D21" s="5">
        <f>D16*D18</f>
        <v>516309492.15634143</v>
      </c>
      <c r="E21" s="5">
        <f>E16*E18</f>
        <v>262782941.02319118</v>
      </c>
      <c r="F21" s="5">
        <f>(B21*4+C21*3+D21*2+E21*1)</f>
        <v>29870122349.739056</v>
      </c>
      <c r="G21" s="6">
        <f>G16*G18</f>
        <v>3874500000</v>
      </c>
      <c r="H21" s="2">
        <v>0.01</v>
      </c>
      <c r="I21" s="2">
        <v>0.5</v>
      </c>
      <c r="J21" s="2">
        <v>0.5</v>
      </c>
      <c r="K21" s="2">
        <v>0.7</v>
      </c>
      <c r="L21" s="9">
        <v>2000000</v>
      </c>
      <c r="M21" s="6">
        <f>(F21+G21)*H21*I21*J21*K21</f>
        <v>59053089.112043343</v>
      </c>
      <c r="N21" s="13">
        <f>M21-L21</f>
        <v>57053089.112043343</v>
      </c>
    </row>
    <row r="23" spans="1:14" x14ac:dyDescent="0.3">
      <c r="A23" s="1" t="s">
        <v>17</v>
      </c>
      <c r="B23" s="2"/>
      <c r="C23" s="2"/>
      <c r="D23" s="2"/>
      <c r="E23" s="2"/>
      <c r="F23" s="2"/>
      <c r="G23" s="2"/>
      <c r="H23" s="2"/>
      <c r="I23" s="2"/>
      <c r="J23" s="3"/>
      <c r="K23" s="3"/>
      <c r="L23" s="3"/>
      <c r="M23" s="3"/>
      <c r="N23" s="3"/>
    </row>
    <row r="24" spans="1:14" ht="41.4" x14ac:dyDescent="0.3">
      <c r="A24" s="3"/>
      <c r="B24" s="2" t="s">
        <v>1</v>
      </c>
      <c r="C24" s="2" t="s">
        <v>2</v>
      </c>
      <c r="D24" s="2" t="s">
        <v>3</v>
      </c>
      <c r="E24" s="2" t="s">
        <v>4</v>
      </c>
      <c r="F24" s="3"/>
      <c r="G24" s="2" t="s">
        <v>5</v>
      </c>
      <c r="H24" s="2"/>
      <c r="I24" s="2"/>
      <c r="J24" s="3"/>
      <c r="K24" s="3"/>
      <c r="L24" s="3"/>
      <c r="M24" s="3"/>
      <c r="N24" s="3"/>
    </row>
    <row r="25" spans="1:14" x14ac:dyDescent="0.3">
      <c r="A25" s="3"/>
      <c r="B25" s="2">
        <f>4358-4304</f>
        <v>54</v>
      </c>
      <c r="C25" s="2">
        <f>4423-4358</f>
        <v>65</v>
      </c>
      <c r="D25" s="2">
        <f>4570-4423</f>
        <v>147</v>
      </c>
      <c r="E25" s="2">
        <f>4779-4570</f>
        <v>209</v>
      </c>
      <c r="F25" s="2"/>
      <c r="G25" s="4">
        <f>(B25+C25+D25+E25)/2</f>
        <v>237.5</v>
      </c>
      <c r="H25" s="2"/>
      <c r="I25" s="2"/>
      <c r="J25" s="3"/>
      <c r="K25" s="3"/>
      <c r="L25" s="3"/>
      <c r="M25" s="3"/>
      <c r="N25" s="3"/>
    </row>
    <row r="26" spans="1:14" ht="27.6" x14ac:dyDescent="0.3">
      <c r="A26" s="3"/>
      <c r="B26" s="2" t="s">
        <v>6</v>
      </c>
      <c r="C26" s="2" t="s">
        <v>6</v>
      </c>
      <c r="D26" s="2" t="s">
        <v>6</v>
      </c>
      <c r="E26" s="2" t="s">
        <v>6</v>
      </c>
      <c r="F26" s="3"/>
      <c r="G26" s="2" t="s">
        <v>6</v>
      </c>
      <c r="H26" s="2"/>
      <c r="I26" s="2"/>
      <c r="J26" s="3"/>
      <c r="K26" s="3"/>
      <c r="L26" s="3"/>
      <c r="M26" s="3"/>
      <c r="N26" s="3"/>
    </row>
    <row r="27" spans="1:14" x14ac:dyDescent="0.3">
      <c r="A27" s="3"/>
      <c r="B27" s="5">
        <f>307736000000/4358</f>
        <v>70614043.139054611</v>
      </c>
      <c r="C27" s="6">
        <f>316083000000/4423</f>
        <v>71463486.32150124</v>
      </c>
      <c r="D27" s="5">
        <f>328704000000/4570</f>
        <v>71926477.024070024</v>
      </c>
      <c r="E27" s="5">
        <f>334302000000/4779</f>
        <v>69952291.274325177</v>
      </c>
      <c r="F27" s="5"/>
      <c r="G27" s="7">
        <v>69000000</v>
      </c>
      <c r="H27" s="2"/>
      <c r="I27" s="2"/>
      <c r="J27" s="3"/>
      <c r="K27" s="3"/>
      <c r="L27" s="3"/>
      <c r="M27" s="3"/>
      <c r="N27" s="3"/>
    </row>
    <row r="28" spans="1:14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82.8" x14ac:dyDescent="0.3">
      <c r="A29" s="3"/>
      <c r="B29" s="7" t="s">
        <v>7</v>
      </c>
      <c r="C29" s="7" t="s">
        <v>8</v>
      </c>
      <c r="D29" s="7" t="s">
        <v>9</v>
      </c>
      <c r="E29" s="7" t="s">
        <v>10</v>
      </c>
      <c r="F29" s="7" t="s">
        <v>11</v>
      </c>
      <c r="G29" s="7" t="s">
        <v>12</v>
      </c>
      <c r="H29" s="2" t="s">
        <v>25</v>
      </c>
      <c r="I29" s="2" t="s">
        <v>13</v>
      </c>
      <c r="J29" s="2" t="s">
        <v>14</v>
      </c>
      <c r="K29" s="2" t="s">
        <v>15</v>
      </c>
      <c r="L29" s="2" t="s">
        <v>16</v>
      </c>
      <c r="M29" s="2" t="s">
        <v>22</v>
      </c>
      <c r="N29" s="12" t="s">
        <v>23</v>
      </c>
    </row>
    <row r="30" spans="1:14" x14ac:dyDescent="0.3">
      <c r="A30" s="3"/>
      <c r="B30" s="5">
        <f>B25*B27</f>
        <v>3813158329.5089488</v>
      </c>
      <c r="C30" s="5">
        <f>C25*C27</f>
        <v>4645126610.8975801</v>
      </c>
      <c r="D30" s="5">
        <f>D25*D27</f>
        <v>10573192122.538294</v>
      </c>
      <c r="E30" s="5">
        <f>E25*E27</f>
        <v>14620028876.333961</v>
      </c>
      <c r="F30" s="5">
        <f>(B30*4+C30*3+D30*2+E30*1)</f>
        <v>64954426272.139091</v>
      </c>
      <c r="G30" s="6">
        <f>G25*G27</f>
        <v>16387500000</v>
      </c>
      <c r="H30" s="2">
        <v>0.01</v>
      </c>
      <c r="I30" s="2">
        <v>0.5</v>
      </c>
      <c r="J30" s="2">
        <v>0.5</v>
      </c>
      <c r="K30" s="2">
        <v>0.7</v>
      </c>
      <c r="L30" s="9">
        <v>2000000</v>
      </c>
      <c r="M30" s="6">
        <f>(F30+G30)*H30*I30*J30*K30</f>
        <v>142348370.97624341</v>
      </c>
      <c r="N30" s="13">
        <f>M30-L30</f>
        <v>140348370.97624341</v>
      </c>
    </row>
    <row r="33" spans="1:14" x14ac:dyDescent="0.3">
      <c r="A33" s="1" t="s">
        <v>18</v>
      </c>
      <c r="B33" s="2"/>
      <c r="C33" s="2"/>
      <c r="D33" s="2"/>
      <c r="E33" s="2"/>
      <c r="F33" s="2"/>
      <c r="G33" s="2"/>
      <c r="H33" s="2"/>
      <c r="I33" s="2"/>
      <c r="J33" s="3"/>
      <c r="K33" s="3"/>
      <c r="L33" s="3"/>
      <c r="M33" s="3"/>
      <c r="N33" s="3"/>
    </row>
    <row r="34" spans="1:14" ht="41.4" x14ac:dyDescent="0.3">
      <c r="A34" s="3"/>
      <c r="B34" s="2" t="s">
        <v>1</v>
      </c>
      <c r="C34" s="2" t="s">
        <v>2</v>
      </c>
      <c r="D34" s="2" t="s">
        <v>3</v>
      </c>
      <c r="E34" s="2" t="s">
        <v>4</v>
      </c>
      <c r="F34" s="3"/>
      <c r="G34" s="2" t="s">
        <v>5</v>
      </c>
      <c r="H34" s="2"/>
      <c r="I34" s="2"/>
      <c r="J34" s="3"/>
      <c r="K34" s="3"/>
      <c r="L34" s="3"/>
      <c r="M34" s="3"/>
      <c r="N34" s="3"/>
    </row>
    <row r="35" spans="1:14" x14ac:dyDescent="0.3">
      <c r="A35" s="3"/>
      <c r="B35" s="2">
        <f>7456-7397</f>
        <v>59</v>
      </c>
      <c r="C35" s="2">
        <f>7651-7456</f>
        <v>195</v>
      </c>
      <c r="D35" s="2">
        <f>7821-7651</f>
        <v>170</v>
      </c>
      <c r="E35" s="2">
        <f>7998-7821</f>
        <v>177</v>
      </c>
      <c r="F35" s="2"/>
      <c r="G35" s="4">
        <f>(B35+C35+D35+E35)/2</f>
        <v>300.5</v>
      </c>
      <c r="H35" s="2"/>
      <c r="I35" s="2"/>
      <c r="J35" s="3"/>
      <c r="K35" s="3"/>
      <c r="L35" s="3"/>
      <c r="M35" s="3"/>
      <c r="N35" s="3"/>
    </row>
    <row r="36" spans="1:14" ht="27.6" x14ac:dyDescent="0.3">
      <c r="A36" s="3"/>
      <c r="B36" s="2" t="s">
        <v>6</v>
      </c>
      <c r="C36" s="2" t="s">
        <v>6</v>
      </c>
      <c r="D36" s="2" t="s">
        <v>6</v>
      </c>
      <c r="E36" s="2" t="s">
        <v>6</v>
      </c>
      <c r="F36" s="3"/>
      <c r="G36" s="2" t="s">
        <v>6</v>
      </c>
      <c r="H36" s="2"/>
      <c r="I36" s="2"/>
      <c r="J36" s="3"/>
      <c r="K36" s="3"/>
      <c r="L36" s="3"/>
      <c r="M36" s="3"/>
      <c r="N36" s="3"/>
    </row>
    <row r="37" spans="1:14" x14ac:dyDescent="0.3">
      <c r="A37" s="3"/>
      <c r="B37" s="5">
        <f>61240000000/7456</f>
        <v>8213519.3133047214</v>
      </c>
      <c r="C37" s="6">
        <f>68330000000/7651</f>
        <v>8930858.7112795711</v>
      </c>
      <c r="D37" s="5">
        <f>65104000000/7821</f>
        <v>8324255.2103311596</v>
      </c>
      <c r="E37" s="5">
        <f>68068000000/7998</f>
        <v>8510627.6569142286</v>
      </c>
      <c r="F37" s="5"/>
      <c r="G37" s="7">
        <v>8000000</v>
      </c>
      <c r="H37" s="2"/>
      <c r="I37" s="2"/>
      <c r="J37" s="3"/>
      <c r="K37" s="3"/>
      <c r="L37" s="3"/>
      <c r="M37" s="3"/>
      <c r="N37" s="3"/>
    </row>
    <row r="38" spans="1:14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82.8" x14ac:dyDescent="0.3">
      <c r="A39" s="3"/>
      <c r="B39" s="7" t="s">
        <v>7</v>
      </c>
      <c r="C39" s="7" t="s">
        <v>8</v>
      </c>
      <c r="D39" s="7" t="s">
        <v>9</v>
      </c>
      <c r="E39" s="7" t="s">
        <v>10</v>
      </c>
      <c r="F39" s="7" t="s">
        <v>11</v>
      </c>
      <c r="G39" s="7" t="s">
        <v>12</v>
      </c>
      <c r="H39" s="2" t="s">
        <v>25</v>
      </c>
      <c r="I39" s="2" t="s">
        <v>13</v>
      </c>
      <c r="J39" s="2" t="s">
        <v>14</v>
      </c>
      <c r="K39" s="2" t="s">
        <v>15</v>
      </c>
      <c r="L39" s="2" t="s">
        <v>16</v>
      </c>
      <c r="M39" s="2" t="s">
        <v>22</v>
      </c>
      <c r="N39" s="12" t="s">
        <v>23</v>
      </c>
    </row>
    <row r="40" spans="1:14" x14ac:dyDescent="0.3">
      <c r="A40" s="3"/>
      <c r="B40" s="5">
        <f>B35*B37</f>
        <v>484597639.48497856</v>
      </c>
      <c r="C40" s="5">
        <f>C35*C37</f>
        <v>1741517448.6995163</v>
      </c>
      <c r="D40" s="5">
        <f>D35*D37</f>
        <v>1415123385.7562971</v>
      </c>
      <c r="E40" s="5">
        <f>E35*E37</f>
        <v>1506381095.2738185</v>
      </c>
      <c r="F40" s="5">
        <f>(B40*4+C40*3+D40*2+E40*1)</f>
        <v>11499570770.824877</v>
      </c>
      <c r="G40" s="6">
        <f>G35*G37</f>
        <v>2404000000</v>
      </c>
      <c r="H40" s="2">
        <v>0.01</v>
      </c>
      <c r="I40" s="2">
        <v>0.5</v>
      </c>
      <c r="J40" s="2">
        <v>0.5</v>
      </c>
      <c r="K40" s="2">
        <v>0.97</v>
      </c>
      <c r="L40" s="9">
        <v>2000000</v>
      </c>
      <c r="M40" s="6">
        <f>(F40+G40)*H40*I40*J40*K40</f>
        <v>33716159.119250327</v>
      </c>
      <c r="N40" s="13">
        <f>M40-L40</f>
        <v>31716159.119250327</v>
      </c>
    </row>
    <row r="43" spans="1:14" x14ac:dyDescent="0.3">
      <c r="A43" s="10" t="s">
        <v>24</v>
      </c>
      <c r="M43" s="11">
        <f>M21+M30+M40</f>
        <v>235117619.20753708</v>
      </c>
      <c r="N43" s="14">
        <f>N21+N30+N40</f>
        <v>229117619.20753708</v>
      </c>
    </row>
    <row r="45" spans="1:14" x14ac:dyDescent="0.3">
      <c r="A45" s="3" t="s">
        <v>26</v>
      </c>
      <c r="B45" s="3"/>
      <c r="C45" s="3"/>
    </row>
    <row r="46" spans="1:14" x14ac:dyDescent="0.3">
      <c r="A46" s="3" t="s">
        <v>27</v>
      </c>
      <c r="B46" s="3"/>
      <c r="C46" s="3"/>
    </row>
    <row r="47" spans="1:14" x14ac:dyDescent="0.3">
      <c r="A47" s="3" t="s">
        <v>28</v>
      </c>
      <c r="B47" s="3"/>
      <c r="C47" s="3"/>
    </row>
    <row r="48" spans="1:14" x14ac:dyDescent="0.3">
      <c r="A48" s="3" t="s">
        <v>29</v>
      </c>
      <c r="B48" s="3"/>
      <c r="C48" s="3"/>
    </row>
  </sheetData>
  <pageMargins left="0.25" right="0.25" top="0.75" bottom="0.75" header="0.3" footer="0.3"/>
  <pageSetup orientation="landscape" verticalDpi="0" r:id="rId1"/>
  <headerFooter>
    <oddFooter>&amp;CConfidential 
Subject to NDA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Ranjeev Singh</dc:creator>
  <cp:lastModifiedBy>Ranjeev Singh</cp:lastModifiedBy>
  <cp:lastPrinted>2015-03-05T16:11:12Z</cp:lastPrinted>
  <dcterms:created xsi:type="dcterms:W3CDTF">2015-03-04T20:35:19Z</dcterms:created>
  <dcterms:modified xsi:type="dcterms:W3CDTF">2015-03-12T14:03:09Z</dcterms:modified>
</cp:coreProperties>
</file>